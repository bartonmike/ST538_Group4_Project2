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andepaul_oregonstate_edu/Documents/Classes/2026/Spring/ST538_Group4_Project2/data/"/>
    </mc:Choice>
  </mc:AlternateContent>
  <xr:revisionPtr revIDLastSave="157" documentId="8_{B90E17DA-B27C-415A-8027-3432238B1AE2}" xr6:coauthVersionLast="47" xr6:coauthVersionMax="47" xr10:uidLastSave="{87BC3FFC-474E-4C83-9129-23CB98481D6A}"/>
  <bookViews>
    <workbookView xWindow="-120" yWindow="-120" windowWidth="38640" windowHeight="21120" xr2:uid="{00000000-000D-0000-FFFF-FFFF00000000}"/>
  </bookViews>
  <sheets>
    <sheet name="Sheet2" sheetId="2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H40" i="2"/>
  <c r="H39" i="2"/>
  <c r="H38" i="2"/>
  <c r="H41" i="2"/>
  <c r="H42" i="2"/>
  <c r="H6" i="2"/>
  <c r="H5" i="2"/>
  <c r="H4" i="2"/>
  <c r="H29" i="2"/>
  <c r="H28" i="2"/>
  <c r="H27" i="2"/>
  <c r="H26" i="2"/>
  <c r="H25" i="2"/>
  <c r="H24" i="2"/>
  <c r="H23" i="2"/>
  <c r="H22" i="2"/>
  <c r="H21" i="2"/>
  <c r="H20" i="2"/>
  <c r="H19" i="2"/>
</calcChain>
</file>

<file path=xl/sharedStrings.xml><?xml version="1.0" encoding="utf-8"?>
<sst xmlns="http://schemas.openxmlformats.org/spreadsheetml/2006/main" count="181" uniqueCount="129">
  <si>
    <t>ltv</t>
  </si>
  <si>
    <t>UniqueID</t>
  </si>
  <si>
    <t>disbursed_amount</t>
  </si>
  <si>
    <t>asset_cost</t>
  </si>
  <si>
    <t>branch_id</t>
  </si>
  <si>
    <t>supplier_id</t>
  </si>
  <si>
    <t>manufacturer_id</t>
  </si>
  <si>
    <t>Current_pincode</t>
  </si>
  <si>
    <t>Date.of.Birth</t>
  </si>
  <si>
    <t>DisbursalDate</t>
  </si>
  <si>
    <t>State_ID</t>
  </si>
  <si>
    <t>Employee_code_ID</t>
  </si>
  <si>
    <t>MobileNo_Avl_Flag</t>
  </si>
  <si>
    <t>Aadhar_flag</t>
  </si>
  <si>
    <t>PAN_flag</t>
  </si>
  <si>
    <t>VoterID_flag</t>
  </si>
  <si>
    <t>Driving_flag</t>
  </si>
  <si>
    <t>Passport_flag</t>
  </si>
  <si>
    <t>PERFORM_CNS.SCORE</t>
  </si>
  <si>
    <t>PERFORM_CNS.SCORE.DESCRIPTION</t>
  </si>
  <si>
    <t>PRI.NO.OF.ACCTS</t>
  </si>
  <si>
    <t>PRI.ACTIVE.ACCTS</t>
  </si>
  <si>
    <t>PRI.OVERDUE.ACCTS</t>
  </si>
  <si>
    <t>PRI.CURRENT.BALANCE</t>
  </si>
  <si>
    <t>PRI.SANCTIONED.AMOUNT</t>
  </si>
  <si>
    <t>PRI.DISBURSED.AMOUNT</t>
  </si>
  <si>
    <t>SEC.NO.OF.ACCTS</t>
  </si>
  <si>
    <t>SEC.ACTIVE.ACCTS</t>
  </si>
  <si>
    <t>SEC.OVERDUE.ACCTS</t>
  </si>
  <si>
    <t>SEC.CURRENT.BALANCE</t>
  </si>
  <si>
    <t>SEC.SANCTIONED.AMOUNT</t>
  </si>
  <si>
    <t>SEC.DISBURSED.AMOUNT</t>
  </si>
  <si>
    <t>PRIMARY.INSTAL.AMT</t>
  </si>
  <si>
    <t>SEC.INSTAL.AMT</t>
  </si>
  <si>
    <t>NEW.ACCTS.IN.LAST.SIX.MONTHS</t>
  </si>
  <si>
    <t>DELINQUENT.ACCTS.IN.LAST.SIX.MONTHS</t>
  </si>
  <si>
    <t>AVERAGE.ACCT.AGE</t>
  </si>
  <si>
    <t>CREDIT.HISTORY.LENGTH</t>
  </si>
  <si>
    <t>NO.OF_INQUIRIES</t>
  </si>
  <si>
    <t>Identifier for customers</t>
  </si>
  <si>
    <t>Amount of Loan disbursed</t>
  </si>
  <si>
    <t>Loan to Value of the asset</t>
  </si>
  <si>
    <t>Branch where the loan was disbursed</t>
  </si>
  <si>
    <t>Vehicle manufacturer(Hero, Honda, TVS etc.)</t>
  </si>
  <si>
    <t>State of disbursement</t>
  </si>
  <si>
    <t>if Mobile no. was shared by the customer then flagged as 1</t>
  </si>
  <si>
    <t>if aadhar was shared by the customer then flagged as 1</t>
  </si>
  <si>
    <t>if voter  was shared by the customer then flagged as 1</t>
  </si>
  <si>
    <t>Bureau Score</t>
  </si>
  <si>
    <t>Bureau score description</t>
  </si>
  <si>
    <t>count of total loans taken by the customer at the time of disbursement</t>
  </si>
  <si>
    <t>count of active loans taken by the customer at the time of disbursement</t>
  </si>
  <si>
    <t>count of default accounts at the time of disbursement</t>
  </si>
  <si>
    <t>total Principal outstanding amount of the active loans at the time of disbursement</t>
  </si>
  <si>
    <t>total amount that was disbursed for all the loans at the time of disbursement</t>
  </si>
  <si>
    <t>Primary accounts are those which the customer has taken for his personal use</t>
  </si>
  <si>
    <t>Secondary accounts are those which the customer act as a co-applicant or gaurantor</t>
  </si>
  <si>
    <t>EMI Amount of the secondary loan</t>
  </si>
  <si>
    <t>Loans defaulted in the last 6 months</t>
  </si>
  <si>
    <t>Average loan tenure</t>
  </si>
  <si>
    <t>Time since first loan</t>
  </si>
  <si>
    <t>Enquries done by the customer for loans</t>
  </si>
  <si>
    <t>Variable Name</t>
  </si>
  <si>
    <t>Description</t>
  </si>
  <si>
    <t>Payment default in the first EMI on due date</t>
  </si>
  <si>
    <t>loan_default</t>
  </si>
  <si>
    <t>Employment.Type</t>
  </si>
  <si>
    <t>Current pincode of the customer</t>
  </si>
  <si>
    <t>Cost of the Asset</t>
  </si>
  <si>
    <t>Vehicle Dealer where the loan was disbursed</t>
  </si>
  <si>
    <t>Date of birth of the customer</t>
  </si>
  <si>
    <t>Employment Type of the customer (Salaried/Self Employed)</t>
  </si>
  <si>
    <t>Date of disbursement</t>
  </si>
  <si>
    <t>Employee of the organization who logged the disbursement</t>
  </si>
  <si>
    <t>if pan was shared by the customer then flagged as 1</t>
  </si>
  <si>
    <t>if DL was shared by the customer then flagged as 1</t>
  </si>
  <si>
    <t>if passport was shared by the customer then flagged as 1</t>
  </si>
  <si>
    <t>total amount that was sanctioned for all the loans at the time of disbursement</t>
  </si>
  <si>
    <t>EMI Amount of the primary loan</t>
  </si>
  <si>
    <t>New loans taken by the customer in last 6 months before the disbursment</t>
  </si>
  <si>
    <t>May need a factor assigned</t>
  </si>
  <si>
    <t>COULD JUST DO 2nd loan TRUE/FALSE??</t>
  </si>
  <si>
    <t>Note: Joint accounts totals and overdue flags would be a good signal, as they are responsible for these accounts as joint owners. T/F may eliminate the meaningful data.</t>
  </si>
  <si>
    <t>Predictive Relevance</t>
  </si>
  <si>
    <t>medium</t>
  </si>
  <si>
    <t>high</t>
  </si>
  <si>
    <t>invoice cost of the vehicle being financed</t>
  </si>
  <si>
    <t>Additional Information (currency = rupees)</t>
  </si>
  <si>
    <t>disbursed amount</t>
  </si>
  <si>
    <t>disbursed amount + asset (vehicle) cost * 100, how much the vehicle is financed vs owner funded. High LTV (&gt;80%) = minimal skin in the game, there are even regulatory caps.</t>
  </si>
  <si>
    <t>Data Type</t>
  </si>
  <si>
    <t>Loan Terms</t>
  </si>
  <si>
    <t>Geography</t>
  </si>
  <si>
    <t>High-default suppliers are a common risk signal in auto lending.</t>
  </si>
  <si>
    <t>Data Category</t>
  </si>
  <si>
    <t>continuous %</t>
  </si>
  <si>
    <t>categorical ID</t>
  </si>
  <si>
    <t>categorical 6-digit</t>
  </si>
  <si>
    <t>Demographics</t>
  </si>
  <si>
    <t>date</t>
  </si>
  <si>
    <t>residence, represents local economic conditions, may want to aggregate</t>
  </si>
  <si>
    <t>use to calculate age at origination/disbursement, young &lt;22 and old &gt;60 = risky profiles</t>
  </si>
  <si>
    <t>KYC/Indentity</t>
  </si>
  <si>
    <t>Binary 0/1</t>
  </si>
  <si>
    <t>indicates formal identity verification via biometrics</t>
  </si>
  <si>
    <t>income tax records on file, formal income history verified 1 = lower risk</t>
  </si>
  <si>
    <t>Bureau</t>
  </si>
  <si>
    <t>Continuous (300-900)</t>
  </si>
  <si>
    <t>indias credit score, single strongest individual predictor of default. ~10% of records may have no score. These new to credit borrowers may be treated as separate segment.</t>
  </si>
  <si>
    <t>Ordinal factor, 'Not Scored', 'Very Low Risk', 'Low Risk', 'Medium Risk', 'High Risk', 'Very High Risk'</t>
  </si>
  <si>
    <t>convert to ordered factor. The not secured/no burbeau history variables can be split out we call these "thin-file borrowers"</t>
  </si>
  <si>
    <t>Primary Account</t>
  </si>
  <si>
    <t>Integer count</t>
  </si>
  <si>
    <t>high account count without corresponding income = over leverage, a risk indicator - could calculate a ratio with income. Active accounts is a better indicator, coupled with total balance.</t>
  </si>
  <si>
    <t>continuous (rupees)</t>
  </si>
  <si>
    <t># active accounts at disbursal, see above. Active accounts /number of accounts = active loan utilization ratio</t>
  </si>
  <si>
    <t>any value &gt; 0 is strong red flag, create another field as indicator, any overdue = 1</t>
  </si>
  <si>
    <t>current bal / disbursed = incremental leverage impact/total debt burden</t>
  </si>
  <si>
    <t>Joint accounts</t>
  </si>
  <si>
    <t>often underweighted, but consider that a joint owner/garantour on a default account faces same impact</t>
  </si>
  <si>
    <t>calculate a binary flag &gt;= 1 = 1 - any joint overdue</t>
  </si>
  <si>
    <t>continuous (rupees/month)</t>
  </si>
  <si>
    <t>part of debt service coverage ratio (DSCR), combine with sec.instal.amt for total EMI burden</t>
  </si>
  <si>
    <t>rapid new credit uptake is an early warning signal of financial stress "credit shopping"</t>
  </si>
  <si>
    <t>Recent delinquency is one of the most predictive short term default signals. Even 1 elevates risk. Consider creating a binary indicator of &gt;= 1 = 1</t>
  </si>
  <si>
    <t>strong &gt; numeric months</t>
  </si>
  <si>
    <t>convert to numeric months before modeling, longer averate age = stable borrower</t>
  </si>
  <si>
    <t>short history &lt;12 month = thin file risk</t>
  </si>
  <si>
    <t xml:space="preserve">calculate inquiry count ratio with number of recent new accounts, a higher ratio is a signal for risk due to rejected applications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</si>
</sst>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wrapText="1"/>
    </xf>
    <xf numFmtId="0" fontId="0" fillId="0" borderId="1" xfId="0" applyBorder="1" applyAlignment="1">
      <alignment wrapText="1"/>
    </xf>
    <xf numFmtId="0" fontId="2" fillId="3" borderId="1" xfId="2" applyBorder="1"/>
    <xf numFmtId="0" fontId="1" fillId="2" borderId="1" xfId="1" applyBorder="1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showGridLines="0" tabSelected="1" topLeftCell="A14" workbookViewId="0">
      <selection activeCell="E43" sqref="E43"/>
    </sheetView>
  </sheetViews>
  <sheetFormatPr defaultColWidth="8.7890625" defaultRowHeight="14.4" x14ac:dyDescent="0.55000000000000004"/>
  <cols>
    <col min="1" max="1" width="40.41796875" bestFit="1" customWidth="1"/>
    <col min="2" max="2" width="75.41796875" bestFit="1" customWidth="1"/>
    <col min="3" max="4" width="23.9453125" customWidth="1"/>
    <col min="5" max="5" width="49.7890625" customWidth="1"/>
    <col min="6" max="6" width="40.41796875" customWidth="1"/>
    <col min="7" max="7" width="17.41796875" customWidth="1"/>
  </cols>
  <sheetData>
    <row r="1" spans="1:8" x14ac:dyDescent="0.55000000000000004">
      <c r="A1" s="1" t="s">
        <v>62</v>
      </c>
      <c r="B1" s="1" t="s">
        <v>63</v>
      </c>
      <c r="C1" s="3" t="s">
        <v>94</v>
      </c>
      <c r="D1" s="4" t="s">
        <v>90</v>
      </c>
      <c r="E1" s="5" t="s">
        <v>87</v>
      </c>
      <c r="F1" s="4" t="s">
        <v>83</v>
      </c>
    </row>
    <row r="2" spans="1:8" x14ac:dyDescent="0.55000000000000004">
      <c r="A2" s="1" t="s">
        <v>1</v>
      </c>
      <c r="B2" s="1" t="s">
        <v>39</v>
      </c>
      <c r="C2" s="1"/>
      <c r="D2" s="1"/>
      <c r="E2" s="6"/>
      <c r="F2" s="1"/>
    </row>
    <row r="3" spans="1:8" x14ac:dyDescent="0.55000000000000004">
      <c r="A3" s="1" t="s">
        <v>65</v>
      </c>
      <c r="B3" s="1" t="s">
        <v>64</v>
      </c>
      <c r="C3" s="1"/>
      <c r="D3" s="1"/>
      <c r="E3" s="6"/>
      <c r="F3" s="1"/>
    </row>
    <row r="4" spans="1:8" x14ac:dyDescent="0.55000000000000004">
      <c r="A4" s="1" t="s">
        <v>2</v>
      </c>
      <c r="B4" s="1" t="s">
        <v>40</v>
      </c>
      <c r="C4" s="1" t="s">
        <v>91</v>
      </c>
      <c r="D4" s="1" t="s">
        <v>114</v>
      </c>
      <c r="E4" s="6" t="s">
        <v>88</v>
      </c>
      <c r="F4" s="7" t="s">
        <v>84</v>
      </c>
      <c r="H4" t="str">
        <f>A4</f>
        <v>disbursed_amount</v>
      </c>
    </row>
    <row r="5" spans="1:8" ht="15.9" customHeight="1" x14ac:dyDescent="0.55000000000000004">
      <c r="A5" s="1" t="s">
        <v>3</v>
      </c>
      <c r="B5" s="1" t="s">
        <v>68</v>
      </c>
      <c r="C5" s="1" t="s">
        <v>91</v>
      </c>
      <c r="D5" s="1" t="s">
        <v>114</v>
      </c>
      <c r="E5" s="6" t="s">
        <v>86</v>
      </c>
      <c r="F5" s="7" t="s">
        <v>84</v>
      </c>
      <c r="H5" t="str">
        <f>A5</f>
        <v>asset_cost</v>
      </c>
    </row>
    <row r="6" spans="1:8" ht="82.8" customHeight="1" x14ac:dyDescent="0.55000000000000004">
      <c r="A6" s="1" t="s">
        <v>0</v>
      </c>
      <c r="B6" s="1" t="s">
        <v>41</v>
      </c>
      <c r="C6" s="1" t="s">
        <v>91</v>
      </c>
      <c r="D6" s="1" t="s">
        <v>95</v>
      </c>
      <c r="E6" s="6" t="s">
        <v>89</v>
      </c>
      <c r="F6" s="8" t="s">
        <v>85</v>
      </c>
      <c r="H6" t="str">
        <f>A6</f>
        <v>ltv</v>
      </c>
    </row>
    <row r="7" spans="1:8" ht="96.9" customHeight="1" x14ac:dyDescent="0.55000000000000004">
      <c r="A7" s="1" t="s">
        <v>4</v>
      </c>
      <c r="B7" s="1" t="s">
        <v>42</v>
      </c>
      <c r="C7" s="1"/>
      <c r="D7" s="1"/>
      <c r="E7" s="6"/>
      <c r="F7" s="1"/>
    </row>
    <row r="8" spans="1:8" ht="28.8" x14ac:dyDescent="0.55000000000000004">
      <c r="A8" s="1" t="s">
        <v>5</v>
      </c>
      <c r="B8" s="1" t="s">
        <v>69</v>
      </c>
      <c r="C8" s="1" t="s">
        <v>92</v>
      </c>
      <c r="D8" s="1" t="s">
        <v>96</v>
      </c>
      <c r="E8" s="6" t="s">
        <v>93</v>
      </c>
      <c r="F8" s="7" t="s">
        <v>84</v>
      </c>
    </row>
    <row r="9" spans="1:8" x14ac:dyDescent="0.55000000000000004">
      <c r="A9" s="1" t="s">
        <v>6</v>
      </c>
      <c r="B9" s="1" t="s">
        <v>43</v>
      </c>
      <c r="C9" s="1"/>
      <c r="D9" s="1"/>
      <c r="E9" s="6"/>
      <c r="F9" s="1"/>
    </row>
    <row r="10" spans="1:8" ht="28.8" x14ac:dyDescent="0.55000000000000004">
      <c r="A10" s="1" t="s">
        <v>7</v>
      </c>
      <c r="B10" s="1" t="s">
        <v>67</v>
      </c>
      <c r="C10" s="1" t="s">
        <v>92</v>
      </c>
      <c r="D10" s="1" t="s">
        <v>97</v>
      </c>
      <c r="E10" s="6" t="s">
        <v>100</v>
      </c>
      <c r="F10" s="7" t="s">
        <v>84</v>
      </c>
    </row>
    <row r="11" spans="1:8" ht="28.8" x14ac:dyDescent="0.55000000000000004">
      <c r="A11" s="1" t="s">
        <v>8</v>
      </c>
      <c r="B11" s="1" t="s">
        <v>70</v>
      </c>
      <c r="C11" s="1" t="s">
        <v>98</v>
      </c>
      <c r="D11" s="1" t="s">
        <v>99</v>
      </c>
      <c r="E11" s="6" t="s">
        <v>101</v>
      </c>
      <c r="F11" s="7" t="s">
        <v>84</v>
      </c>
    </row>
    <row r="12" spans="1:8" x14ac:dyDescent="0.55000000000000004">
      <c r="A12" s="1" t="s">
        <v>66</v>
      </c>
      <c r="B12" s="1" t="s">
        <v>71</v>
      </c>
      <c r="C12" s="1"/>
      <c r="D12" s="1"/>
      <c r="E12" s="6"/>
      <c r="F12" s="1"/>
      <c r="H12" t="str">
        <f t="shared" ref="H12" si="0">A12</f>
        <v>Employment.Type</v>
      </c>
    </row>
    <row r="13" spans="1:8" x14ac:dyDescent="0.55000000000000004">
      <c r="A13" s="1" t="s">
        <v>9</v>
      </c>
      <c r="B13" s="1" t="s">
        <v>72</v>
      </c>
      <c r="C13" s="1"/>
      <c r="D13" s="1"/>
      <c r="E13" s="6"/>
      <c r="F13" s="1"/>
    </row>
    <row r="14" spans="1:8" x14ac:dyDescent="0.55000000000000004">
      <c r="A14" s="1" t="s">
        <v>10</v>
      </c>
      <c r="B14" s="1" t="s">
        <v>44</v>
      </c>
      <c r="C14" s="1"/>
      <c r="D14" s="1"/>
      <c r="E14" s="6"/>
      <c r="F14" s="1"/>
    </row>
    <row r="15" spans="1:8" x14ac:dyDescent="0.55000000000000004">
      <c r="A15" s="1" t="s">
        <v>11</v>
      </c>
      <c r="B15" s="1" t="s">
        <v>73</v>
      </c>
      <c r="C15" s="1"/>
      <c r="D15" s="1"/>
      <c r="E15" s="6"/>
      <c r="F15" s="1"/>
    </row>
    <row r="16" spans="1:8" x14ac:dyDescent="0.55000000000000004">
      <c r="A16" s="1" t="s">
        <v>12</v>
      </c>
      <c r="B16" s="1" t="s">
        <v>45</v>
      </c>
      <c r="C16" s="1"/>
      <c r="D16" s="1"/>
      <c r="E16" s="6"/>
      <c r="F16" s="1"/>
    </row>
    <row r="17" spans="1:9" x14ac:dyDescent="0.55000000000000004">
      <c r="A17" s="1" t="s">
        <v>13</v>
      </c>
      <c r="B17" s="1" t="s">
        <v>46</v>
      </c>
      <c r="C17" s="1" t="s">
        <v>102</v>
      </c>
      <c r="D17" s="1" t="s">
        <v>103</v>
      </c>
      <c r="E17" s="6" t="s">
        <v>104</v>
      </c>
      <c r="F17" s="7" t="s">
        <v>84</v>
      </c>
    </row>
    <row r="18" spans="1:9" ht="28.8" x14ac:dyDescent="0.55000000000000004">
      <c r="A18" s="1" t="s">
        <v>14</v>
      </c>
      <c r="B18" s="1" t="s">
        <v>74</v>
      </c>
      <c r="C18" s="1" t="s">
        <v>102</v>
      </c>
      <c r="D18" s="1" t="s">
        <v>103</v>
      </c>
      <c r="E18" s="6" t="s">
        <v>105</v>
      </c>
      <c r="F18" s="7" t="s">
        <v>84</v>
      </c>
    </row>
    <row r="19" spans="1:9" x14ac:dyDescent="0.55000000000000004">
      <c r="A19" s="1" t="s">
        <v>15</v>
      </c>
      <c r="B19" s="1" t="s">
        <v>47</v>
      </c>
      <c r="C19" s="1"/>
      <c r="D19" s="1"/>
      <c r="E19" s="6"/>
      <c r="F19" s="1"/>
      <c r="H19" t="str">
        <f t="shared" ref="H19:H29" si="1">A19</f>
        <v>VoterID_flag</v>
      </c>
    </row>
    <row r="20" spans="1:9" x14ac:dyDescent="0.55000000000000004">
      <c r="A20" s="1" t="s">
        <v>16</v>
      </c>
      <c r="B20" s="1" t="s">
        <v>75</v>
      </c>
      <c r="C20" s="1"/>
      <c r="D20" s="1"/>
      <c r="E20" s="6"/>
      <c r="F20" s="1"/>
      <c r="H20" t="str">
        <f t="shared" si="1"/>
        <v>Driving_flag</v>
      </c>
    </row>
    <row r="21" spans="1:9" x14ac:dyDescent="0.55000000000000004">
      <c r="A21" s="1" t="s">
        <v>17</v>
      </c>
      <c r="B21" s="1" t="s">
        <v>76</v>
      </c>
      <c r="C21" s="1"/>
      <c r="D21" s="1"/>
      <c r="E21" s="6"/>
      <c r="F21" s="1"/>
      <c r="H21" t="str">
        <f t="shared" si="1"/>
        <v>Passport_flag</v>
      </c>
    </row>
    <row r="22" spans="1:9" ht="43.2" x14ac:dyDescent="0.55000000000000004">
      <c r="A22" s="1" t="s">
        <v>18</v>
      </c>
      <c r="B22" s="1" t="s">
        <v>48</v>
      </c>
      <c r="C22" s="1" t="s">
        <v>106</v>
      </c>
      <c r="D22" s="1" t="s">
        <v>107</v>
      </c>
      <c r="E22" s="6" t="s">
        <v>108</v>
      </c>
      <c r="F22" s="8" t="s">
        <v>85</v>
      </c>
      <c r="H22" t="str">
        <f t="shared" si="1"/>
        <v>PERFORM_CNS.SCORE</v>
      </c>
    </row>
    <row r="23" spans="1:9" ht="75.3" customHeight="1" x14ac:dyDescent="0.55000000000000004">
      <c r="A23" s="1" t="s">
        <v>19</v>
      </c>
      <c r="B23" s="1" t="s">
        <v>49</v>
      </c>
      <c r="C23" s="1" t="s">
        <v>106</v>
      </c>
      <c r="D23" s="6" t="s">
        <v>109</v>
      </c>
      <c r="E23" s="6" t="s">
        <v>110</v>
      </c>
      <c r="F23" s="8" t="s">
        <v>85</v>
      </c>
      <c r="H23" t="str">
        <f t="shared" si="1"/>
        <v>PERFORM_CNS.SCORE.DESCRIPTION</v>
      </c>
      <c r="I23" t="s">
        <v>80</v>
      </c>
    </row>
    <row r="24" spans="1:9" ht="61.8" customHeight="1" x14ac:dyDescent="0.55000000000000004">
      <c r="A24" s="1" t="s">
        <v>20</v>
      </c>
      <c r="B24" s="1" t="s">
        <v>50</v>
      </c>
      <c r="C24" s="1" t="s">
        <v>111</v>
      </c>
      <c r="D24" s="1" t="s">
        <v>112</v>
      </c>
      <c r="E24" s="6" t="s">
        <v>113</v>
      </c>
      <c r="F24" s="7" t="s">
        <v>84</v>
      </c>
      <c r="G24" s="2" t="s">
        <v>55</v>
      </c>
      <c r="H24" t="str">
        <f t="shared" si="1"/>
        <v>PRI.NO.OF.ACCTS</v>
      </c>
    </row>
    <row r="25" spans="1:9" ht="28.8" x14ac:dyDescent="0.55000000000000004">
      <c r="A25" s="1" t="s">
        <v>21</v>
      </c>
      <c r="B25" s="1" t="s">
        <v>51</v>
      </c>
      <c r="C25" s="1" t="s">
        <v>111</v>
      </c>
      <c r="D25" s="1" t="s">
        <v>112</v>
      </c>
      <c r="E25" s="6" t="s">
        <v>115</v>
      </c>
      <c r="F25" s="7" t="s">
        <v>84</v>
      </c>
      <c r="G25" s="2"/>
      <c r="H25" t="str">
        <f t="shared" si="1"/>
        <v>PRI.ACTIVE.ACCTS</v>
      </c>
    </row>
    <row r="26" spans="1:9" ht="28.8" x14ac:dyDescent="0.55000000000000004">
      <c r="A26" s="1" t="s">
        <v>22</v>
      </c>
      <c r="B26" s="1" t="s">
        <v>52</v>
      </c>
      <c r="C26" s="1" t="s">
        <v>111</v>
      </c>
      <c r="D26" s="1" t="s">
        <v>112</v>
      </c>
      <c r="E26" s="6" t="s">
        <v>116</v>
      </c>
      <c r="F26" s="8" t="s">
        <v>85</v>
      </c>
      <c r="G26" s="2"/>
      <c r="H26" t="str">
        <f t="shared" si="1"/>
        <v>PRI.OVERDUE.ACCTS</v>
      </c>
    </row>
    <row r="27" spans="1:9" ht="28.8" x14ac:dyDescent="0.55000000000000004">
      <c r="A27" s="1" t="s">
        <v>23</v>
      </c>
      <c r="B27" s="1" t="s">
        <v>53</v>
      </c>
      <c r="C27" s="1" t="s">
        <v>111</v>
      </c>
      <c r="D27" s="1" t="s">
        <v>114</v>
      </c>
      <c r="E27" s="6" t="s">
        <v>117</v>
      </c>
      <c r="F27" s="7" t="s">
        <v>84</v>
      </c>
      <c r="G27" s="2"/>
      <c r="H27" t="str">
        <f t="shared" si="1"/>
        <v>PRI.CURRENT.BALANCE</v>
      </c>
    </row>
    <row r="28" spans="1:9" x14ac:dyDescent="0.55000000000000004">
      <c r="A28" s="1" t="s">
        <v>24</v>
      </c>
      <c r="B28" s="1" t="s">
        <v>77</v>
      </c>
      <c r="C28" s="1"/>
      <c r="D28" s="1"/>
      <c r="E28" s="6"/>
      <c r="F28" s="1"/>
      <c r="G28" s="2"/>
      <c r="H28" t="str">
        <f t="shared" si="1"/>
        <v>PRI.SANCTIONED.AMOUNT</v>
      </c>
    </row>
    <row r="29" spans="1:9" x14ac:dyDescent="0.55000000000000004">
      <c r="A29" s="1" t="s">
        <v>25</v>
      </c>
      <c r="B29" s="1" t="s">
        <v>54</v>
      </c>
      <c r="C29" s="1"/>
      <c r="D29" s="1"/>
      <c r="E29" s="6"/>
      <c r="F29" s="1"/>
      <c r="G29" s="2"/>
      <c r="H29" t="str">
        <f t="shared" si="1"/>
        <v>PRI.DISBURSED.AMOUNT</v>
      </c>
    </row>
    <row r="30" spans="1:9" ht="28.8" x14ac:dyDescent="0.55000000000000004">
      <c r="A30" s="1" t="s">
        <v>26</v>
      </c>
      <c r="B30" s="1" t="s">
        <v>50</v>
      </c>
      <c r="C30" s="1" t="s">
        <v>118</v>
      </c>
      <c r="D30" s="1" t="s">
        <v>112</v>
      </c>
      <c r="E30" s="6" t="s">
        <v>119</v>
      </c>
      <c r="F30" s="7" t="s">
        <v>84</v>
      </c>
      <c r="G30" s="2" t="s">
        <v>56</v>
      </c>
    </row>
    <row r="31" spans="1:9" x14ac:dyDescent="0.55000000000000004">
      <c r="A31" s="1" t="s">
        <v>27</v>
      </c>
      <c r="B31" s="1" t="s">
        <v>51</v>
      </c>
      <c r="C31" s="1"/>
      <c r="D31" s="1"/>
      <c r="E31" s="6"/>
      <c r="F31" s="1"/>
      <c r="G31" s="2"/>
    </row>
    <row r="32" spans="1:9" x14ac:dyDescent="0.55000000000000004">
      <c r="A32" s="1" t="s">
        <v>28</v>
      </c>
      <c r="B32" s="1" t="s">
        <v>52</v>
      </c>
      <c r="C32" s="1" t="s">
        <v>118</v>
      </c>
      <c r="D32" s="1" t="s">
        <v>112</v>
      </c>
      <c r="E32" s="6" t="s">
        <v>120</v>
      </c>
      <c r="F32" s="7" t="s">
        <v>84</v>
      </c>
      <c r="G32" s="2"/>
      <c r="I32" t="s">
        <v>81</v>
      </c>
    </row>
    <row r="33" spans="1:9" x14ac:dyDescent="0.55000000000000004">
      <c r="A33" s="1" t="s">
        <v>29</v>
      </c>
      <c r="B33" s="1" t="s">
        <v>53</v>
      </c>
      <c r="C33" s="1"/>
      <c r="D33" s="1"/>
      <c r="E33" s="6"/>
      <c r="F33" s="1"/>
      <c r="G33" s="2"/>
      <c r="I33" t="s">
        <v>82</v>
      </c>
    </row>
    <row r="34" spans="1:9" x14ac:dyDescent="0.55000000000000004">
      <c r="A34" s="1" t="s">
        <v>30</v>
      </c>
      <c r="B34" s="1" t="s">
        <v>77</v>
      </c>
      <c r="C34" s="1"/>
      <c r="D34" s="1"/>
      <c r="E34" s="6"/>
      <c r="F34" s="1"/>
      <c r="G34" s="2"/>
    </row>
    <row r="35" spans="1:9" x14ac:dyDescent="0.55000000000000004">
      <c r="A35" s="1" t="s">
        <v>31</v>
      </c>
      <c r="B35" s="1" t="s">
        <v>54</v>
      </c>
      <c r="C35" s="1"/>
      <c r="D35" s="1"/>
      <c r="E35" s="6"/>
      <c r="F35" s="1"/>
      <c r="G35" s="2"/>
    </row>
    <row r="36" spans="1:9" ht="28.8" x14ac:dyDescent="0.55000000000000004">
      <c r="A36" s="1" t="s">
        <v>32</v>
      </c>
      <c r="B36" s="1" t="s">
        <v>78</v>
      </c>
      <c r="C36" s="1" t="s">
        <v>111</v>
      </c>
      <c r="D36" s="1" t="s">
        <v>121</v>
      </c>
      <c r="E36" s="6" t="s">
        <v>122</v>
      </c>
      <c r="F36" s="8" t="s">
        <v>85</v>
      </c>
    </row>
    <row r="37" spans="1:9" x14ac:dyDescent="0.55000000000000004">
      <c r="A37" s="1" t="s">
        <v>33</v>
      </c>
      <c r="B37" s="1" t="s">
        <v>57</v>
      </c>
      <c r="C37" s="1"/>
      <c r="D37" s="1"/>
      <c r="E37" s="6"/>
      <c r="F37" s="1"/>
    </row>
    <row r="38" spans="1:9" ht="28.8" x14ac:dyDescent="0.55000000000000004">
      <c r="A38" s="1" t="s">
        <v>34</v>
      </c>
      <c r="B38" s="1" t="s">
        <v>79</v>
      </c>
      <c r="C38" s="1" t="s">
        <v>106</v>
      </c>
      <c r="D38" s="1" t="s">
        <v>112</v>
      </c>
      <c r="E38" s="6" t="s">
        <v>123</v>
      </c>
      <c r="F38" s="8" t="s">
        <v>85</v>
      </c>
      <c r="H38" t="str">
        <f>A38</f>
        <v>NEW.ACCTS.IN.LAST.SIX.MONTHS</v>
      </c>
    </row>
    <row r="39" spans="1:9" ht="43.2" x14ac:dyDescent="0.55000000000000004">
      <c r="A39" s="1" t="s">
        <v>35</v>
      </c>
      <c r="B39" s="1" t="s">
        <v>58</v>
      </c>
      <c r="C39" s="1" t="s">
        <v>106</v>
      </c>
      <c r="D39" s="1" t="s">
        <v>112</v>
      </c>
      <c r="E39" s="6" t="s">
        <v>124</v>
      </c>
      <c r="F39" s="8" t="s">
        <v>85</v>
      </c>
      <c r="H39" t="str">
        <f>A39</f>
        <v>DELINQUENT.ACCTS.IN.LAST.SIX.MONTHS</v>
      </c>
    </row>
    <row r="40" spans="1:9" ht="28.8" x14ac:dyDescent="0.55000000000000004">
      <c r="A40" s="1" t="s">
        <v>36</v>
      </c>
      <c r="B40" s="1" t="s">
        <v>59</v>
      </c>
      <c r="C40" s="1" t="s">
        <v>106</v>
      </c>
      <c r="D40" s="1" t="s">
        <v>125</v>
      </c>
      <c r="E40" s="6" t="s">
        <v>126</v>
      </c>
      <c r="F40" s="7" t="s">
        <v>84</v>
      </c>
      <c r="H40" t="str">
        <f>A40</f>
        <v>AVERAGE.ACCT.AGE</v>
      </c>
    </row>
    <row r="41" spans="1:9" x14ac:dyDescent="0.55000000000000004">
      <c r="A41" s="1" t="s">
        <v>37</v>
      </c>
      <c r="B41" s="1" t="s">
        <v>60</v>
      </c>
      <c r="C41" s="1" t="s">
        <v>106</v>
      </c>
      <c r="D41" s="1" t="s">
        <v>125</v>
      </c>
      <c r="E41" s="6" t="s">
        <v>127</v>
      </c>
      <c r="F41" s="7" t="s">
        <v>84</v>
      </c>
      <c r="H41" t="str">
        <f>A41</f>
        <v>CREDIT.HISTORY.LENGTH</v>
      </c>
    </row>
    <row r="42" spans="1:9" ht="43.2" x14ac:dyDescent="0.55000000000000004">
      <c r="A42" s="1" t="s">
        <v>38</v>
      </c>
      <c r="B42" s="1" t="s">
        <v>61</v>
      </c>
      <c r="C42" s="1" t="s">
        <v>106</v>
      </c>
      <c r="D42" s="1" t="s">
        <v>112</v>
      </c>
      <c r="E42" s="6" t="s">
        <v>128</v>
      </c>
      <c r="F42" s="7" t="s">
        <v>84</v>
      </c>
      <c r="H42" t="str">
        <f>A42</f>
        <v>NO.OF_INQUIRIES</v>
      </c>
    </row>
  </sheetData>
  <mergeCells count="2">
    <mergeCell ref="G24:G29"/>
    <mergeCell ref="G30:G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Patwary Shoneet</dc:creator>
  <cp:lastModifiedBy>Anderson, Paul J</cp:lastModifiedBy>
  <dcterms:created xsi:type="dcterms:W3CDTF">2019-03-25T12:48:38Z</dcterms:created>
  <dcterms:modified xsi:type="dcterms:W3CDTF">2026-05-16T20:15:47Z</dcterms:modified>
</cp:coreProperties>
</file>